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ocesa2\Downloads\"/>
    </mc:Choice>
  </mc:AlternateContent>
  <xr:revisionPtr revIDLastSave="0" documentId="13_ncr:1_{11119066-E7B4-4AD8-899C-00CA110DD4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F2" i="1"/>
  <c r="F3" i="1"/>
  <c r="F4" i="1"/>
  <c r="F5" i="1"/>
  <c r="F6" i="1"/>
  <c r="F7" i="1"/>
  <c r="F8" i="1"/>
  <c r="F9" i="1"/>
  <c r="F10" i="1"/>
  <c r="F11" i="1"/>
  <c r="F12" i="1"/>
  <c r="F13" i="1"/>
  <c r="E2" i="1"/>
  <c r="E3" i="1"/>
  <c r="E4" i="1"/>
  <c r="E5" i="1"/>
  <c r="E6" i="1"/>
  <c r="E7" i="1"/>
  <c r="E8" i="1"/>
  <c r="E9" i="1"/>
  <c r="E10" i="1"/>
  <c r="E11" i="1"/>
  <c r="E12" i="1"/>
  <c r="E13" i="1"/>
  <c r="C2" i="1"/>
  <c r="C3" i="1"/>
  <c r="C4" i="1"/>
  <c r="C5" i="1"/>
  <c r="C6" i="1"/>
  <c r="C7" i="1"/>
  <c r="C8" i="1"/>
  <c r="C9" i="1"/>
  <c r="C10" i="1"/>
  <c r="C11" i="1"/>
  <c r="C12" i="1"/>
  <c r="C13" i="1"/>
  <c r="B14" i="1"/>
  <c r="D14" i="1"/>
  <c r="G13" i="1" l="1"/>
  <c r="G12" i="1"/>
  <c r="G10" i="1"/>
  <c r="G11" i="1"/>
  <c r="C14" i="1"/>
  <c r="G5" i="1"/>
  <c r="G8" i="1"/>
  <c r="G7" i="1"/>
  <c r="G9" i="1"/>
  <c r="G3" i="1"/>
  <c r="G2" i="1"/>
  <c r="I2" i="1" s="1"/>
  <c r="F14" i="1"/>
  <c r="G4" i="1"/>
  <c r="G6" i="1"/>
  <c r="E14" i="1"/>
  <c r="I8" i="1" l="1"/>
  <c r="I9" i="1"/>
  <c r="I6" i="1"/>
  <c r="I7" i="1"/>
  <c r="I5" i="1"/>
  <c r="I10" i="1"/>
  <c r="I13" i="1"/>
  <c r="I11" i="1"/>
  <c r="I4" i="1"/>
  <c r="I12" i="1"/>
  <c r="I3" i="1"/>
  <c r="H14" i="1" l="1"/>
  <c r="G14" i="1"/>
</calcChain>
</file>

<file path=xl/sharedStrings.xml><?xml version="1.0" encoding="utf-8"?>
<sst xmlns="http://schemas.openxmlformats.org/spreadsheetml/2006/main" count="22" uniqueCount="22">
  <si>
    <t>Mês</t>
  </si>
  <si>
    <t>Clientes</t>
  </si>
  <si>
    <t>Receitas Realizadas (R$)</t>
  </si>
  <si>
    <t>Custos Fixos (R$)</t>
  </si>
  <si>
    <t>Custos Variáveis (R$)</t>
  </si>
  <si>
    <t>Total Saídas (R$)</t>
  </si>
  <si>
    <t>Lucro Realizado (R$)</t>
  </si>
  <si>
    <t>Lucro Acumulado (R$)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</si>
  <si>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</si>
  <si>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</si>
  <si>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</si>
  <si>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</si>
  <si>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</si>
  <si>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</si>
  <si>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</si>
  <si>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</si>
  <si>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</si>
  <si>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</si>
  <si>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</si>
  <si>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</si>
  <si>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Tributos - 6% (R$)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</si>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</sst>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6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23">
    <dxf>
      <numFmt numFmtId="166" formatCode="&quot;R$&quot;\ #,##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&quot;R$&quot;\ #,##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&quot;R$&quot;\ #,##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&quot;R$&quot;\ #,##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&quot;R$&quot;\ #,##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&quot;R$&quot;\ #,##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&quot;R$&quot;\ #,##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&quot;R$&quot;\ #,##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&quot;R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&quot;R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&quot;R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&quot;R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&quot;R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&quot;R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&quot;R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&quot;R$&quot;\ #,##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&quot;R$&quot;\ #,##0.0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top style="thin">
          <color auto="1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64E520-A446-4D78-AB0C-2236FD5505D4}" name="Tabela1" displayName="Tabela1" ref="A1:I14" totalsRowCount="1" headerRowDxfId="20" totalsRowDxfId="18" headerRowBorderDxfId="21" tableBorderDxfId="22" totalsRowBorderDxfId="19">
  <autoFilter ref="A1:I13" xr:uid="{FF64E520-A446-4D78-AB0C-2236FD5505D4}"/>
  <tableColumns count="9">
    <tableColumn id="1" xr3:uid="{7EF6B0BC-136B-4DB5-9210-353D1F29248D}" name="Mês" totalsRowLabel="Total" dataDxfId="17" totalsRowDxfId="8"/>
    <tableColumn id="2" xr3:uid="{A90B998D-624F-4AB0-9FD4-D8DF91DF85F2}" name="Clientes" totalsRowFunction="sum" dataDxfId="16" totalsRowDxfId="7"/>
    <tableColumn id="3" xr3:uid="{1A52CDFF-586C-4ADE-9EA5-E74B639D65CC}" name="Receitas Realizadas (R$)" totalsRowFunction="sum" dataDxfId="11" totalsRowDxfId="6">
      <calculatedColumnFormula>Tabela1[[#This Row],[Clientes]]*120</calculatedColumnFormula>
    </tableColumn>
    <tableColumn id="4" xr3:uid="{9BAD5E16-298B-4586-AB6E-2802034C71A5}" name="Custos Fixos (R$)" totalsRowFunction="sum" dataDxfId="15" totalsRowDxfId="5"/>
    <tableColumn id="5" xr3:uid="{4A5CD0F0-60E6-425A-B80D-ECCF2870EAB4}" name="Custos Variáveis (R$)" totalsRowFunction="sum" dataDxfId="10" totalsRowDxfId="4">
      <calculatedColumnFormula>(Tabela1[[#This Row],[Clientes]] * 80)</calculatedColumnFormula>
    </tableColumn>
    <tableColumn id="6" xr3:uid="{DA0E44FA-33F8-4ABB-8AEC-9EA5F3172FB8}" name="Tributos - 6% (R$)" totalsRowFunction="sum" dataDxfId="9" totalsRowDxfId="3">
      <calculatedColumnFormula>(C2 * 0.06)</calculatedColumnFormula>
    </tableColumn>
    <tableColumn id="7" xr3:uid="{A3DFCA38-52A4-4D0E-9C9F-E75C3ED5B566}" name="Total Saídas (R$)" totalsRowFunction="sum" dataDxfId="14" totalsRowDxfId="2">
      <calculatedColumnFormula>SUM(Tabela1[[#This Row],[Tributos - 6% (R$)]],Tabela1[[#This Row],[Custos Variáveis (R$)]],Tabela1[[#This Row],[Custos Fixos (R$)]])</calculatedColumnFormula>
    </tableColumn>
    <tableColumn id="8" xr3:uid="{00EF5959-5223-407D-A3BE-80BF9DE735D0}" name="Lucro Realizado (R$)" totalsRowFunction="sum" dataDxfId="13" totalsRowDxfId="1">
      <calculatedColumnFormula>(Tabela1[[#This Row],[Receitas Realizadas (R$)]] - Tabela1[[#This Row],[Total Saídas (R$)]])</calculatedColumnFormula>
    </tableColumn>
    <tableColumn id="9" xr3:uid="{AA0FEB1E-5A11-41F9-BF5A-DB63632807D8}" name="Lucro Acumulado (R$)" dataDxfId="12" totalsRowDxfId="0">
      <calculatedColumnFormula>SUM($H$2:H2)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I15" sqref="I15"/>
    </sheetView>
  </sheetViews>
  <sheetFormatPr defaultRowHeight="15" x14ac:dyDescent="0.25"/>
  <cols>
    <col min="1" max="1" width="9.42578125" bestFit="1" customWidth="1"/>
    <col min="2" max="2" width="12.85546875" bestFit="1" customWidth="1"/>
    <col min="3" max="3" width="27.140625" bestFit="1" customWidth="1"/>
    <col min="4" max="4" width="20.5703125" bestFit="1" customWidth="1"/>
    <col min="5" max="5" width="24.28515625" bestFit="1" customWidth="1"/>
    <col min="6" max="6" width="21.140625" bestFit="1" customWidth="1"/>
    <col min="7" max="7" width="20.140625" bestFit="1" customWidth="1"/>
    <col min="8" max="8" width="23.5703125" bestFit="1" customWidth="1"/>
    <col min="9" max="9" width="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  <c r="I1" s="2" t="s">
        <v>7</v>
      </c>
    </row>
    <row r="2" spans="1:9" x14ac:dyDescent="0.25">
      <c r="A2" s="3" t="s">
        <v>8</v>
      </c>
      <c r="B2" s="4">
        <v>5</v>
      </c>
      <c r="C2" s="3">
        <f>Tabela1[[#This Row],[Clientes]]*120</f>
        <v>600</v>
      </c>
      <c r="D2" s="3">
        <v>3000</v>
      </c>
      <c r="E2" s="3">
        <f>(Tabela1[[#This Row],[Clientes]] * 80)</f>
        <v>400</v>
      </c>
      <c r="F2" s="3">
        <f t="shared" ref="F2:F13" si="0">(C2 * 0.06)</f>
        <v>36</v>
      </c>
      <c r="G2" s="3">
        <f>SUM(Tabela1[[#This Row],[Tributos - 6% (R$)]],Tabela1[[#This Row],[Custos Variáveis (R$)]],Tabela1[[#This Row],[Custos Fixos (R$)]])</f>
        <v>3436</v>
      </c>
      <c r="H2" s="3">
        <f>(Tabela1[[#This Row],[Receitas Realizadas (R$)]] - Tabela1[[#This Row],[Total Saídas (R$)]])</f>
        <v>-2836</v>
      </c>
      <c r="I2" s="3">
        <f>SUM($H$2:H2)</f>
        <v>-2836</v>
      </c>
    </row>
    <row r="3" spans="1:9" x14ac:dyDescent="0.25">
      <c r="A3" s="3" t="s">
        <v>9</v>
      </c>
      <c r="B3" s="4">
        <v>9</v>
      </c>
      <c r="C3" s="3">
        <f>Tabela1[[#This Row],[Clientes]]*120</f>
        <v>1080</v>
      </c>
      <c r="D3" s="3">
        <v>3000</v>
      </c>
      <c r="E3" s="3">
        <f>(Tabela1[[#This Row],[Clientes]] * 80)</f>
        <v>720</v>
      </c>
      <c r="F3" s="3">
        <f t="shared" si="0"/>
        <v>64.8</v>
      </c>
      <c r="G3" s="3">
        <f>SUM(Tabela1[[#This Row],[Tributos - 6% (R$)]],Tabela1[[#This Row],[Custos Variáveis (R$)]],Tabela1[[#This Row],[Custos Fixos (R$)]])</f>
        <v>3784.8</v>
      </c>
      <c r="H3" s="3">
        <f>(Tabela1[[#This Row],[Receitas Realizadas (R$)]] - Tabela1[[#This Row],[Total Saídas (R$)]])</f>
        <v>-2704.8</v>
      </c>
      <c r="I3" s="3">
        <f>SUM($H$2:H3)</f>
        <v>-5540.8</v>
      </c>
    </row>
    <row r="4" spans="1:9" x14ac:dyDescent="0.25">
      <c r="A4" s="3" t="s">
        <v>10</v>
      </c>
      <c r="B4" s="4">
        <v>14</v>
      </c>
      <c r="C4" s="3">
        <f>Tabela1[[#This Row],[Clientes]]*120</f>
        <v>1680</v>
      </c>
      <c r="D4" s="3">
        <v>3000</v>
      </c>
      <c r="E4" s="3">
        <f>(Tabela1[[#This Row],[Clientes]] * 80)</f>
        <v>1120</v>
      </c>
      <c r="F4" s="3">
        <f t="shared" si="0"/>
        <v>100.8</v>
      </c>
      <c r="G4" s="3">
        <f>SUM(Tabela1[[#This Row],[Tributos - 6% (R$)]],Tabela1[[#This Row],[Custos Variáveis (R$)]],Tabela1[[#This Row],[Custos Fixos (R$)]])</f>
        <v>4220.8</v>
      </c>
      <c r="H4" s="3">
        <f>(Tabela1[[#This Row],[Receitas Realizadas (R$)]] - Tabela1[[#This Row],[Total Saídas (R$)]])</f>
        <v>-2540.8000000000002</v>
      </c>
      <c r="I4" s="3">
        <f>SUM($H$2:H4)</f>
        <v>-8081.6</v>
      </c>
    </row>
    <row r="5" spans="1:9" x14ac:dyDescent="0.25">
      <c r="A5" s="3" t="s">
        <v>11</v>
      </c>
      <c r="B5" s="4">
        <v>23</v>
      </c>
      <c r="C5" s="3">
        <f>Tabela1[[#This Row],[Clientes]]*120</f>
        <v>2760</v>
      </c>
      <c r="D5" s="3">
        <v>3000</v>
      </c>
      <c r="E5" s="3">
        <f>(Tabela1[[#This Row],[Clientes]] * 80)</f>
        <v>1840</v>
      </c>
      <c r="F5" s="3">
        <f t="shared" si="0"/>
        <v>165.6</v>
      </c>
      <c r="G5" s="3">
        <f>SUM(Tabela1[[#This Row],[Tributos - 6% (R$)]],Tabela1[[#This Row],[Custos Variáveis (R$)]],Tabela1[[#This Row],[Custos Fixos (R$)]])</f>
        <v>5005.6000000000004</v>
      </c>
      <c r="H5" s="3">
        <f>(Tabela1[[#This Row],[Receitas Realizadas (R$)]] - Tabela1[[#This Row],[Total Saídas (R$)]])</f>
        <v>-2245.6000000000004</v>
      </c>
      <c r="I5" s="3">
        <f>SUM($H$2:H5)</f>
        <v>-10327.200000000001</v>
      </c>
    </row>
    <row r="6" spans="1:9" x14ac:dyDescent="0.25">
      <c r="A6" s="3" t="s">
        <v>12</v>
      </c>
      <c r="B6" s="4">
        <v>33</v>
      </c>
      <c r="C6" s="3">
        <f>Tabela1[[#This Row],[Clientes]]*120</f>
        <v>3960</v>
      </c>
      <c r="D6" s="3">
        <v>3000</v>
      </c>
      <c r="E6" s="3">
        <f>(Tabela1[[#This Row],[Clientes]] * 80)</f>
        <v>2640</v>
      </c>
      <c r="F6" s="3">
        <f t="shared" si="0"/>
        <v>237.6</v>
      </c>
      <c r="G6" s="3">
        <f>SUM(Tabela1[[#This Row],[Tributos - 6% (R$)]],Tabela1[[#This Row],[Custos Variáveis (R$)]],Tabela1[[#This Row],[Custos Fixos (R$)]])</f>
        <v>5877.6</v>
      </c>
      <c r="H6" s="3">
        <f>(Tabela1[[#This Row],[Receitas Realizadas (R$)]] - Tabela1[[#This Row],[Total Saídas (R$)]])</f>
        <v>-1917.6000000000004</v>
      </c>
      <c r="I6" s="3">
        <f>SUM($H$2:H6)</f>
        <v>-12244.800000000001</v>
      </c>
    </row>
    <row r="7" spans="1:9" x14ac:dyDescent="0.25">
      <c r="A7" s="3" t="s">
        <v>13</v>
      </c>
      <c r="B7" s="4">
        <v>47</v>
      </c>
      <c r="C7" s="3">
        <f>Tabela1[[#This Row],[Clientes]]*120</f>
        <v>5640</v>
      </c>
      <c r="D7" s="3">
        <v>3000</v>
      </c>
      <c r="E7" s="3">
        <f>(Tabela1[[#This Row],[Clientes]] * 80)</f>
        <v>3760</v>
      </c>
      <c r="F7" s="3">
        <f t="shared" si="0"/>
        <v>338.4</v>
      </c>
      <c r="G7" s="3">
        <f>SUM(Tabela1[[#This Row],[Tributos - 6% (R$)]],Tabela1[[#This Row],[Custos Variáveis (R$)]],Tabela1[[#This Row],[Custos Fixos (R$)]])</f>
        <v>7098.4</v>
      </c>
      <c r="H7" s="3">
        <f>(Tabela1[[#This Row],[Receitas Realizadas (R$)]] - Tabela1[[#This Row],[Total Saídas (R$)]])</f>
        <v>-1458.3999999999996</v>
      </c>
      <c r="I7" s="3">
        <f>SUM($H$2:H7)</f>
        <v>-13703.2</v>
      </c>
    </row>
    <row r="8" spans="1:9" x14ac:dyDescent="0.25">
      <c r="A8" s="3" t="s">
        <v>14</v>
      </c>
      <c r="B8" s="4">
        <v>65</v>
      </c>
      <c r="C8" s="3">
        <f>Tabela1[[#This Row],[Clientes]]*120</f>
        <v>7800</v>
      </c>
      <c r="D8" s="3">
        <v>3000</v>
      </c>
      <c r="E8" s="3">
        <f>(Tabela1[[#This Row],[Clientes]] * 80)</f>
        <v>5200</v>
      </c>
      <c r="F8" s="3">
        <f t="shared" si="0"/>
        <v>468</v>
      </c>
      <c r="G8" s="3">
        <f>SUM(Tabela1[[#This Row],[Tributos - 6% (R$)]],Tabela1[[#This Row],[Custos Variáveis (R$)]],Tabela1[[#This Row],[Custos Fixos (R$)]])</f>
        <v>8668</v>
      </c>
      <c r="H8" s="3">
        <f>(Tabela1[[#This Row],[Receitas Realizadas (R$)]] - Tabela1[[#This Row],[Total Saídas (R$)]])</f>
        <v>-868</v>
      </c>
      <c r="I8" s="3">
        <f>SUM($H$2:H8)</f>
        <v>-14571.2</v>
      </c>
    </row>
    <row r="9" spans="1:9" x14ac:dyDescent="0.25">
      <c r="A9" s="3" t="s">
        <v>15</v>
      </c>
      <c r="B9" s="4">
        <v>84</v>
      </c>
      <c r="C9" s="3">
        <f>Tabela1[[#This Row],[Clientes]]*120</f>
        <v>10080</v>
      </c>
      <c r="D9" s="3">
        <v>3000</v>
      </c>
      <c r="E9" s="3">
        <f>(Tabela1[[#This Row],[Clientes]] * 80)</f>
        <v>6720</v>
      </c>
      <c r="F9" s="3">
        <f t="shared" si="0"/>
        <v>604.79999999999995</v>
      </c>
      <c r="G9" s="3">
        <f>SUM(Tabela1[[#This Row],[Tributos - 6% (R$)]],Tabela1[[#This Row],[Custos Variáveis (R$)]],Tabela1[[#This Row],[Custos Fixos (R$)]])</f>
        <v>10324.799999999999</v>
      </c>
      <c r="H9" s="3">
        <f>(Tabela1[[#This Row],[Receitas Realizadas (R$)]] - Tabela1[[#This Row],[Total Saídas (R$)]])</f>
        <v>-244.79999999999927</v>
      </c>
      <c r="I9" s="3">
        <f>SUM($H$2:H9)</f>
        <v>-14816</v>
      </c>
    </row>
    <row r="10" spans="1:9" x14ac:dyDescent="0.25">
      <c r="A10" s="3" t="s">
        <v>16</v>
      </c>
      <c r="B10" s="4">
        <v>102</v>
      </c>
      <c r="C10" s="3">
        <f>Tabela1[[#This Row],[Clientes]]*120</f>
        <v>12240</v>
      </c>
      <c r="D10" s="3">
        <v>3000</v>
      </c>
      <c r="E10" s="3">
        <f>(Tabela1[[#This Row],[Clientes]] * 80)</f>
        <v>8160</v>
      </c>
      <c r="F10" s="3">
        <f t="shared" si="0"/>
        <v>734.4</v>
      </c>
      <c r="G10" s="3">
        <f>SUM(Tabela1[[#This Row],[Tributos - 6% (R$)]],Tabela1[[#This Row],[Custos Variáveis (R$)]],Tabela1[[#This Row],[Custos Fixos (R$)]])</f>
        <v>11894.4</v>
      </c>
      <c r="H10" s="3">
        <f>(Tabela1[[#This Row],[Receitas Realizadas (R$)]] - Tabela1[[#This Row],[Total Saídas (R$)]])</f>
        <v>345.60000000000036</v>
      </c>
      <c r="I10" s="3">
        <f>SUM($H$2:H10)</f>
        <v>-14470.4</v>
      </c>
    </row>
    <row r="11" spans="1:9" x14ac:dyDescent="0.25">
      <c r="A11" s="3" t="s">
        <v>17</v>
      </c>
      <c r="B11" s="4">
        <v>121</v>
      </c>
      <c r="C11" s="3">
        <f>Tabela1[[#This Row],[Clientes]]*120</f>
        <v>14520</v>
      </c>
      <c r="D11" s="3">
        <v>3000</v>
      </c>
      <c r="E11" s="3">
        <f>(Tabela1[[#This Row],[Clientes]] * 80)</f>
        <v>9680</v>
      </c>
      <c r="F11" s="3">
        <f t="shared" si="0"/>
        <v>871.19999999999993</v>
      </c>
      <c r="G11" s="3">
        <f>SUM(Tabela1[[#This Row],[Tributos - 6% (R$)]],Tabela1[[#This Row],[Custos Variáveis (R$)]],Tabela1[[#This Row],[Custos Fixos (R$)]])</f>
        <v>13551.2</v>
      </c>
      <c r="H11" s="3">
        <f>(Tabela1[[#This Row],[Receitas Realizadas (R$)]] - Tabela1[[#This Row],[Total Saídas (R$)]])</f>
        <v>968.79999999999927</v>
      </c>
      <c r="I11" s="3">
        <f>SUM($H$2:H11)</f>
        <v>-13501.6</v>
      </c>
    </row>
    <row r="12" spans="1:9" x14ac:dyDescent="0.25">
      <c r="A12" s="3" t="s">
        <v>18</v>
      </c>
      <c r="B12" s="4">
        <v>144</v>
      </c>
      <c r="C12" s="3">
        <f>Tabela1[[#This Row],[Clientes]]*120</f>
        <v>17280</v>
      </c>
      <c r="D12" s="3">
        <v>3000</v>
      </c>
      <c r="E12" s="3">
        <f>(Tabela1[[#This Row],[Clientes]] * 80)</f>
        <v>11520</v>
      </c>
      <c r="F12" s="3">
        <f t="shared" si="0"/>
        <v>1036.8</v>
      </c>
      <c r="G12" s="3">
        <f>SUM(Tabela1[[#This Row],[Tributos - 6% (R$)]],Tabela1[[#This Row],[Custos Variáveis (R$)]],Tabela1[[#This Row],[Custos Fixos (R$)]])</f>
        <v>15556.8</v>
      </c>
      <c r="H12" s="3">
        <f>(Tabela1[[#This Row],[Receitas Realizadas (R$)]] - Tabela1[[#This Row],[Total Saídas (R$)]])</f>
        <v>1723.2000000000007</v>
      </c>
      <c r="I12" s="3">
        <f>SUM($H$2:H12)</f>
        <v>-11778.4</v>
      </c>
    </row>
    <row r="13" spans="1:9" x14ac:dyDescent="0.25">
      <c r="A13" s="3" t="s">
        <v>19</v>
      </c>
      <c r="B13" s="4">
        <v>172</v>
      </c>
      <c r="C13" s="3">
        <f>Tabela1[[#This Row],[Clientes]]*120</f>
        <v>20640</v>
      </c>
      <c r="D13" s="3">
        <v>3000</v>
      </c>
      <c r="E13" s="3">
        <f>(Tabela1[[#This Row],[Clientes]] * 80)</f>
        <v>13760</v>
      </c>
      <c r="F13" s="3">
        <f t="shared" si="0"/>
        <v>1238.3999999999999</v>
      </c>
      <c r="G13" s="3">
        <f>SUM(Tabela1[[#This Row],[Tributos - 6% (R$)]],Tabela1[[#This Row],[Custos Variáveis (R$)]],Tabela1[[#This Row],[Custos Fixos (R$)]])</f>
        <v>17998.400000000001</v>
      </c>
      <c r="H13" s="3">
        <f>(Tabela1[[#This Row],[Receitas Realizadas (R$)]] - Tabela1[[#This Row],[Total Saídas (R$)]])</f>
        <v>2641.5999999999985</v>
      </c>
      <c r="I13" s="3">
        <f>SUM($H$2:H13)</f>
        <v>-9136.8000000000011</v>
      </c>
    </row>
    <row r="14" spans="1:9" x14ac:dyDescent="0.25">
      <c r="A14" s="3" t="s">
        <v>21</v>
      </c>
      <c r="B14" s="4">
        <f>SUBTOTAL(109,Tabela1[Clientes])</f>
        <v>819</v>
      </c>
      <c r="C14" s="3">
        <f>SUBTOTAL(109,Tabela1[Receitas Realizadas (R$)])</f>
        <v>98280</v>
      </c>
      <c r="D14" s="3">
        <f>SUBTOTAL(109,Tabela1[Custos Fixos (R$)])</f>
        <v>36000</v>
      </c>
      <c r="E14" s="3">
        <f>SUBTOTAL(109,Tabela1[Custos Variáveis (R$)])</f>
        <v>65520</v>
      </c>
      <c r="F14" s="3">
        <f>SUBTOTAL(109,Tabela1[Tributos - 6% (R$)])</f>
        <v>5896.7999999999993</v>
      </c>
      <c r="G14" s="3">
        <f>SUBTOTAL(109,Tabela1[Total Saídas (R$)])</f>
        <v>107416.80000000002</v>
      </c>
      <c r="H14" s="3">
        <f>SUBTOTAL(109,Tabela1[Lucro Realizado (R$)])</f>
        <v>-9136.8000000000011</v>
      </c>
      <c r="I1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César MELO (Guest)</cp:lastModifiedBy>
  <dcterms:created xsi:type="dcterms:W3CDTF">2025-10-29T14:49:06Z</dcterms:created>
  <dcterms:modified xsi:type="dcterms:W3CDTF">2025-10-29T19:43:28Z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5e1d80-5df9-45cf-93c6-b3dca2463c0a_Enabled">
    <vt:lpwstr>true</vt:lpwstr>
  </property>
  <property fmtid="{D5CDD505-2E9C-101B-9397-08002B2CF9AE}" pid="3" name="MSIP_Label_115e1d80-5df9-45cf-93c6-b3dca2463c0a_SetDate">
    <vt:lpwstr>2025-10-29T19:43:28Z</vt:lpwstr>
  </property>
  <property fmtid="{D5CDD505-2E9C-101B-9397-08002B2CF9AE}" pid="4" name="MSIP_Label_115e1d80-5df9-45cf-93c6-b3dca2463c0a_Method">
    <vt:lpwstr>Standard</vt:lpwstr>
  </property>
  <property fmtid="{D5CDD505-2E9C-101B-9397-08002B2CF9AE}" pid="5" name="MSIP_Label_115e1d80-5df9-45cf-93c6-b3dca2463c0a_Name">
    <vt:lpwstr>115e1d80-5df9-45cf-93c6-b3dca2463c0a</vt:lpwstr>
  </property>
  <property fmtid="{D5CDD505-2E9C-101B-9397-08002B2CF9AE}" pid="6" name="MSIP_Label_115e1d80-5df9-45cf-93c6-b3dca2463c0a_SiteId">
    <vt:lpwstr>35734bde-3e33-4eb6-8dd2-0c96b30981bf</vt:lpwstr>
  </property>
  <property fmtid="{D5CDD505-2E9C-101B-9397-08002B2CF9AE}" pid="7" name="MSIP_Label_115e1d80-5df9-45cf-93c6-b3dca2463c0a_ActionId">
    <vt:lpwstr>bd7138a3-e479-45c8-a0e2-4a3ecf7ee6a5</vt:lpwstr>
  </property>
  <property fmtid="{D5CDD505-2E9C-101B-9397-08002B2CF9AE}" pid="8" name="MSIP_Label_115e1d80-5df9-45cf-93c6-b3dca2463c0a_ContentBits">
    <vt:lpwstr>0</vt:lpwstr>
  </property>
  <property fmtid="{D5CDD505-2E9C-101B-9397-08002B2CF9AE}" pid="9" name="MSIP_Label_115e1d80-5df9-45cf-93c6-b3dca2463c0a_Tag">
    <vt:lpwstr>10, 3, 0, 1</vt:lpwstr>
  </property>
</Properties>
</file>